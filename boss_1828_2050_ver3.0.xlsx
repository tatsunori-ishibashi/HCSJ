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/>
  <xr:revisionPtr revIDLastSave="0" documentId="13_ncr:1_{2CE6C5E7-C0B4-4A37-AC41-60AC111D2D7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ボス計算ツール" sheetId="2" r:id="rId1"/>
    <sheet name="内部計算用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3" l="1"/>
  <c r="I6" i="3"/>
  <c r="E34" i="2" l="1" a="1"/>
  <c r="E33" i="2"/>
  <c r="E32" i="2"/>
  <c r="K44" i="2" l="1"/>
  <c r="K56" i="2"/>
  <c r="I47" i="2"/>
  <c r="I59" i="2"/>
  <c r="K45" i="2"/>
  <c r="K57" i="2"/>
  <c r="I48" i="2"/>
  <c r="I60" i="2"/>
  <c r="K46" i="2"/>
  <c r="K58" i="2"/>
  <c r="I49" i="2"/>
  <c r="E36" i="2"/>
  <c r="K47" i="2"/>
  <c r="K59" i="2"/>
  <c r="I50" i="2"/>
  <c r="K48" i="2"/>
  <c r="K60" i="2"/>
  <c r="I51" i="2"/>
  <c r="K49" i="2"/>
  <c r="K41" i="2"/>
  <c r="I52" i="2"/>
  <c r="I41" i="2"/>
  <c r="I53" i="2"/>
  <c r="K51" i="2"/>
  <c r="I42" i="2"/>
  <c r="I54" i="2"/>
  <c r="K52" i="2"/>
  <c r="I43" i="2"/>
  <c r="I55" i="2"/>
  <c r="K53" i="2"/>
  <c r="I44" i="2"/>
  <c r="I56" i="2"/>
  <c r="K42" i="2"/>
  <c r="K54" i="2"/>
  <c r="I45" i="2"/>
  <c r="I57" i="2"/>
  <c r="K43" i="2"/>
  <c r="K55" i="2"/>
  <c r="I46" i="2"/>
  <c r="I58" i="2"/>
  <c r="K50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<sst xmlns="http://schemas.openxmlformats.org/spreadsheetml/2006/main" count="115" uniqueCount="66">
  <si>
    <t>七星</t>
    <rPh sb="0" eb="2">
      <t>シチ</t>
    </rPh>
    <phoneticPr fontId="1"/>
  </si>
  <si>
    <t>暴走</t>
    <rPh sb="0" eb="2">
      <t>ボウ</t>
    </rPh>
    <phoneticPr fontId="1"/>
  </si>
  <si>
    <t>幸運</t>
    <rPh sb="0" eb="2">
      <t>コウウン</t>
    </rPh>
    <phoneticPr fontId="1"/>
  </si>
  <si>
    <t>%</t>
    <phoneticPr fontId="1"/>
  </si>
  <si>
    <t>奮起</t>
    <rPh sb="0" eb="2">
      <t>フンキ</t>
    </rPh>
    <phoneticPr fontId="1"/>
  </si>
  <si>
    <t>人</t>
    <rPh sb="0" eb="1">
      <t>ニン</t>
    </rPh>
    <phoneticPr fontId="1"/>
  </si>
  <si>
    <t>ボス知力値</t>
    <rPh sb="2" eb="5">
      <t>チリョ</t>
    </rPh>
    <phoneticPr fontId="1"/>
  </si>
  <si>
    <t>ボス筋力値</t>
    <rPh sb="2" eb="4">
      <t>キンリョク</t>
    </rPh>
    <rPh sb="4" eb="5">
      <t>チ</t>
    </rPh>
    <phoneticPr fontId="1"/>
  </si>
  <si>
    <t>ボス敏捷値</t>
    <rPh sb="2" eb="4">
      <t>ビンショウ</t>
    </rPh>
    <rPh sb="4" eb="5">
      <t>チ</t>
    </rPh>
    <phoneticPr fontId="1"/>
  </si>
  <si>
    <t>筋力</t>
    <rPh sb="0" eb="2">
      <t>キン</t>
    </rPh>
    <phoneticPr fontId="1"/>
  </si>
  <si>
    <t>知力</t>
    <rPh sb="0" eb="2">
      <t>チリョク</t>
    </rPh>
    <phoneticPr fontId="1"/>
  </si>
  <si>
    <t>敏捷</t>
    <rPh sb="0" eb="2">
      <t>ビンショウ</t>
    </rPh>
    <phoneticPr fontId="1"/>
  </si>
  <si>
    <t>劉備の筋力値</t>
    <rPh sb="0" eb="2">
      <t>リュウ</t>
    </rPh>
    <rPh sb="3" eb="6">
      <t>キンリョクチ</t>
    </rPh>
    <phoneticPr fontId="1"/>
  </si>
  <si>
    <t>場の味方人数</t>
  </si>
  <si>
    <t>目標ステータス</t>
  </si>
  <si>
    <t>目標ステージ</t>
  </si>
  <si>
    <t>←プルダウンメニューより選択</t>
  </si>
  <si>
    <t>計算結果</t>
  </si>
  <si>
    <t>使用キャラのメインステータス</t>
  </si>
  <si>
    <t>https://idleheroine-research.com/data/enemydata_v2#%E6%88%A6%E5%BD%B9%E3%83%9C%E3%82%B9-%E3%82%B9%E3%83%86%E3%83%BC%E3%82%BF%E3%82%B9%E7%B0%A1%E6%98%93%E7%89%8818282050%E3%82%B9%E3%83%86%E3%83%BC%E3%82%B8</t>
    <phoneticPr fontId="1"/>
  </si>
  <si>
    <t>ti</t>
    <phoneticPr fontId="1"/>
  </si>
  <si>
    <t>leve</t>
    <phoneticPr fontId="1"/>
  </si>
  <si>
    <t>kin</t>
    <phoneticPr fontId="1"/>
  </si>
  <si>
    <t>bin</t>
    <phoneticPr fontId="1"/>
  </si>
  <si>
    <t>sute</t>
    <phoneticPr fontId="1"/>
  </si>
  <si>
    <t>ステージ</t>
    <phoneticPr fontId="1"/>
  </si>
  <si>
    <t>目標ステータス</t>
    <rPh sb="0" eb="2">
      <t>モクヒョウ</t>
    </rPh>
    <phoneticPr fontId="1"/>
  </si>
  <si>
    <t>ステータスの種類</t>
    <rPh sb="6" eb="8">
      <t>シュルイ</t>
    </rPh>
    <phoneticPr fontId="1"/>
  </si>
  <si>
    <t>ボスステータス</t>
    <phoneticPr fontId="1"/>
  </si>
  <si>
    <t>以上</t>
    <rPh sb="0" eb="2">
      <t>イジョウ</t>
    </rPh>
    <phoneticPr fontId="1"/>
  </si>
  <si>
    <t>参考１</t>
    <rPh sb="0" eb="2">
      <t>サンコウ</t>
    </rPh>
    <phoneticPr fontId="1"/>
  </si>
  <si>
    <r>
      <t>・</t>
    </r>
    <r>
      <rPr>
        <sz val="11"/>
        <color theme="7" tint="-0.249977111117893"/>
        <rFont val="Yu Gothic"/>
        <family val="3"/>
        <charset val="128"/>
        <scheme val="minor"/>
      </rPr>
      <t>黄色</t>
    </r>
    <r>
      <rPr>
        <sz val="11"/>
        <color theme="1"/>
        <rFont val="Yu Gothic"/>
        <family val="2"/>
        <scheme val="minor"/>
      </rPr>
      <t>の項目のみ入力(数値として入力)</t>
    </r>
    <phoneticPr fontId="1"/>
  </si>
  <si>
    <t>ステータスデータはこちらのサイトを参考にしました。</t>
    <rPh sb="17" eb="19">
      <t>サンコウ</t>
    </rPh>
    <phoneticPr fontId="1"/>
  </si>
  <si>
    <t>・バフはステータス増加％を入力、使用しない欄は0を入力。</t>
    <rPh sb="9" eb="11">
      <t>ゾウカ</t>
    </rPh>
    <rPh sb="13" eb="15">
      <t>ニュウ</t>
    </rPh>
    <rPh sb="16" eb="21">
      <t>シヨウ</t>
    </rPh>
    <rPh sb="21" eb="22">
      <t>ラン</t>
    </rPh>
    <rPh sb="25" eb="27">
      <t>ニュウ</t>
    </rPh>
    <phoneticPr fontId="1"/>
  </si>
  <si>
    <t>野望</t>
    <rPh sb="0" eb="2">
      <t>ヤボウ</t>
    </rPh>
    <phoneticPr fontId="1"/>
  </si>
  <si>
    <t>その他２</t>
    <rPh sb="2" eb="3">
      <t>タ</t>
    </rPh>
    <phoneticPr fontId="1"/>
  </si>
  <si>
    <t>その他３</t>
    <rPh sb="2" eb="3">
      <t>タ</t>
    </rPh>
    <phoneticPr fontId="1"/>
  </si>
  <si>
    <t>その他１</t>
    <rPh sb="2" eb="3">
      <t>タ</t>
    </rPh>
    <phoneticPr fontId="1"/>
  </si>
  <si>
    <t>その他４</t>
    <rPh sb="2" eb="3">
      <t>タ</t>
    </rPh>
    <phoneticPr fontId="1"/>
  </si>
  <si>
    <t>対象キャラのステータスアップバフ</t>
    <phoneticPr fontId="1"/>
  </si>
  <si>
    <t>劉備のステータスアップバフ</t>
    <phoneticPr fontId="1"/>
  </si>
  <si>
    <t>参考２</t>
    <phoneticPr fontId="1"/>
  </si>
  <si>
    <t>劉備の筋力値</t>
    <rPh sb="0" eb="2">
      <t>リュウビ</t>
    </rPh>
    <rPh sb="3" eb="5">
      <t>キンリョク</t>
    </rPh>
    <rPh sb="5" eb="6">
      <t>チ</t>
    </rPh>
    <phoneticPr fontId="1"/>
  </si>
  <si>
    <t>このシートでは、場の味方人数、対象キャラと劉備のそれぞれにかかるバフやパッシブのステータスアップ％を</t>
    <rPh sb="15" eb="17">
      <t>タイショウ</t>
    </rPh>
    <phoneticPr fontId="1"/>
  </si>
  <si>
    <t>入力することで、メインステータス勝負で勝つための目安となるメインステータスを知ることができます。</t>
    <phoneticPr fontId="1"/>
  </si>
  <si>
    <t>※このシートはボス戦のボス(一番上の敵)用のステータス計算シートです。</t>
    <phoneticPr fontId="1"/>
  </si>
  <si>
    <t>ボスステージステータス計算ツール(1828~2050)</t>
    <rPh sb="11" eb="13">
      <t>ケイサン</t>
    </rPh>
    <phoneticPr fontId="1"/>
  </si>
  <si>
    <t>1828-1867</t>
    <phoneticPr fontId="1"/>
  </si>
  <si>
    <t>1868-1907</t>
    <phoneticPr fontId="1"/>
  </si>
  <si>
    <t>1908-1918</t>
    <phoneticPr fontId="1"/>
  </si>
  <si>
    <t>1919-1929</t>
    <phoneticPr fontId="1"/>
  </si>
  <si>
    <t>1930-1940</t>
    <phoneticPr fontId="1"/>
  </si>
  <si>
    <t>1941-1951</t>
    <phoneticPr fontId="1"/>
  </si>
  <si>
    <t>1952-1967</t>
    <phoneticPr fontId="1"/>
  </si>
  <si>
    <t>1968-1983</t>
    <phoneticPr fontId="1"/>
  </si>
  <si>
    <t>1984-1999</t>
    <phoneticPr fontId="1"/>
  </si>
  <si>
    <t>2001-2004</t>
    <phoneticPr fontId="1"/>
  </si>
  <si>
    <t>2005-2009</t>
    <phoneticPr fontId="1"/>
  </si>
  <si>
    <t>2010-2014</t>
    <phoneticPr fontId="1"/>
  </si>
  <si>
    <t>2015-2019</t>
    <phoneticPr fontId="1"/>
  </si>
  <si>
    <t>2020-2024</t>
    <phoneticPr fontId="1"/>
  </si>
  <si>
    <t>2025-2029</t>
    <phoneticPr fontId="1"/>
  </si>
  <si>
    <t>2030-2034</t>
    <phoneticPr fontId="1"/>
  </si>
  <si>
    <t>2035-2039</t>
    <phoneticPr fontId="1"/>
  </si>
  <si>
    <t>2040-2044</t>
    <phoneticPr fontId="1"/>
  </si>
  <si>
    <t>2045-2049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</si>
</sst>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#;\0;0"/>
  </numFmts>
  <fonts count="19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b/>
      <sz val="11"/>
      <name val="Yu Gothic"/>
      <family val="3"/>
      <charset val="128"/>
      <scheme val="minor"/>
    </font>
    <font>
      <b/>
      <sz val="11"/>
      <color theme="1"/>
      <name val="Yu Gothic"/>
      <family val="2"/>
      <scheme val="minor"/>
    </font>
    <font>
      <sz val="11"/>
      <color theme="1"/>
      <name val="Yu Gothic"/>
      <family val="3"/>
      <charset val="128"/>
      <scheme val="minor"/>
    </font>
    <font>
      <sz val="8"/>
      <color theme="1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  <font>
      <sz val="12"/>
      <color rgb="FF333333"/>
      <name val="メイリオ"/>
      <family val="3"/>
      <charset val="128"/>
    </font>
    <font>
      <sz val="11"/>
      <color rgb="FF333333"/>
      <name val="Yu Gothic"/>
      <family val="3"/>
      <charset val="128"/>
      <scheme val="minor"/>
    </font>
    <font>
      <sz val="11"/>
      <color theme="7" tint="-0.249977111117893"/>
      <name val="Yu Gothic"/>
      <family val="3"/>
      <charset val="128"/>
      <scheme val="minor"/>
    </font>
    <font>
      <sz val="20"/>
      <color theme="1"/>
      <name val="Yu Gothic"/>
      <family val="2"/>
      <scheme val="minor"/>
    </font>
    <font>
      <sz val="12"/>
      <color theme="1"/>
      <name val="Yu Gothic"/>
      <family val="2"/>
      <scheme val="minor"/>
    </font>
    <font>
      <sz val="12"/>
      <color theme="1"/>
      <name val="Yu Gothic"/>
      <family val="3"/>
      <charset val="128"/>
      <scheme val="minor"/>
    </font>
    <font>
      <b/>
      <sz val="12"/>
      <name val="Yu Gothic"/>
      <family val="3"/>
      <charset val="128"/>
      <scheme val="minor"/>
    </font>
    <font>
      <sz val="14"/>
      <color theme="1"/>
      <name val="Yu Gothic"/>
      <family val="3"/>
      <charset val="128"/>
      <scheme val="minor"/>
    </font>
    <font>
      <sz val="13"/>
      <color theme="1"/>
      <name val="Yu Gothic"/>
      <family val="2"/>
      <scheme val="minor"/>
    </font>
    <font>
      <b/>
      <sz val="12"/>
      <color theme="1"/>
      <name val="Yu Gothic"/>
      <family val="2"/>
      <scheme val="minor"/>
    </font>
    <font>
      <sz val="16"/>
      <color rgb="FFFF0000"/>
      <name val="Yu Gothic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58">
    <xf numFmtId="0" fontId="0" fillId="0" borderId="0" xfId="0"/>
    <xf numFmtId="0" fontId="0" fillId="0" borderId="1" xfId="0" applyBorder="1"/>
    <xf numFmtId="0" fontId="4" fillId="0" borderId="0" xfId="0" applyFont="1"/>
    <xf numFmtId="0" fontId="2" fillId="5" borderId="1" xfId="0" applyFont="1" applyFill="1" applyBorder="1"/>
    <xf numFmtId="0" fontId="5" fillId="2" borderId="4" xfId="0" applyFont="1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177" fontId="2" fillId="4" borderId="3" xfId="0" applyNumberFormat="1" applyFont="1" applyFill="1" applyBorder="1"/>
    <xf numFmtId="0" fontId="6" fillId="4" borderId="8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0" xfId="0" applyFill="1"/>
    <xf numFmtId="0" fontId="7" fillId="0" borderId="0" xfId="1"/>
    <xf numFmtId="0" fontId="8" fillId="0" borderId="0" xfId="0" applyFont="1" applyAlignment="1">
      <alignment horizontal="left" vertical="center" wrapText="1"/>
    </xf>
    <xf numFmtId="0" fontId="5" fillId="0" borderId="0" xfId="0" applyFont="1"/>
    <xf numFmtId="0" fontId="9" fillId="0" borderId="0" xfId="0" applyFont="1" applyAlignment="1">
      <alignment horizontal="right" vertical="center" wrapText="1"/>
    </xf>
    <xf numFmtId="3" fontId="9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176" fontId="0" fillId="4" borderId="1" xfId="0" applyNumberFormat="1" applyFill="1" applyBorder="1" applyAlignment="1">
      <alignment horizontal="center"/>
    </xf>
    <xf numFmtId="176" fontId="0" fillId="4" borderId="1" xfId="0" applyNumberFormat="1" applyFill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0" xfId="0" applyAlignment="1">
      <alignment horizontal="right"/>
    </xf>
    <xf numFmtId="0" fontId="2" fillId="0" borderId="0" xfId="0" applyFont="1"/>
    <xf numFmtId="0" fontId="11" fillId="0" borderId="0" xfId="0" applyFont="1"/>
    <xf numFmtId="0" fontId="12" fillId="4" borderId="11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3" fillId="4" borderId="1" xfId="0" applyFont="1" applyFill="1" applyBorder="1" applyAlignment="1">
      <alignment horizontal="center"/>
    </xf>
    <xf numFmtId="176" fontId="12" fillId="3" borderId="11" xfId="0" applyNumberFormat="1" applyFont="1" applyFill="1" applyBorder="1" applyAlignment="1">
      <alignment horizontal="right"/>
    </xf>
    <xf numFmtId="176" fontId="12" fillId="3" borderId="1" xfId="0" applyNumberFormat="1" applyFont="1" applyFill="1" applyBorder="1" applyAlignment="1">
      <alignment horizontal="right"/>
    </xf>
    <xf numFmtId="0" fontId="14" fillId="3" borderId="2" xfId="0" applyFont="1" applyFill="1" applyBorder="1" applyAlignment="1">
      <alignment horizontal="center"/>
    </xf>
    <xf numFmtId="176" fontId="14" fillId="3" borderId="2" xfId="0" applyNumberFormat="1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176" fontId="13" fillId="3" borderId="1" xfId="0" applyNumberFormat="1" applyFont="1" applyFill="1" applyBorder="1" applyAlignment="1">
      <alignment horizontal="center"/>
    </xf>
    <xf numFmtId="177" fontId="2" fillId="4" borderId="24" xfId="0" applyNumberFormat="1" applyFont="1" applyFill="1" applyBorder="1"/>
    <xf numFmtId="177" fontId="2" fillId="4" borderId="22" xfId="0" applyNumberFormat="1" applyFont="1" applyFill="1" applyBorder="1"/>
    <xf numFmtId="177" fontId="2" fillId="4" borderId="23" xfId="0" applyNumberFormat="1" applyFont="1" applyFill="1" applyBorder="1"/>
    <xf numFmtId="176" fontId="15" fillId="4" borderId="9" xfId="0" applyNumberFormat="1" applyFont="1" applyFill="1" applyBorder="1" applyAlignment="1">
      <alignment horizontal="right"/>
    </xf>
    <xf numFmtId="0" fontId="16" fillId="6" borderId="4" xfId="0" applyFont="1" applyFill="1" applyBorder="1" applyAlignment="1">
      <alignment horizontal="center"/>
    </xf>
    <xf numFmtId="0" fontId="17" fillId="7" borderId="4" xfId="0" applyFont="1" applyFill="1" applyBorder="1"/>
    <xf numFmtId="0" fontId="18" fillId="0" borderId="0" xfId="0" applyFont="1"/>
    <xf numFmtId="0" fontId="9" fillId="0" borderId="1" xfId="0" applyFont="1" applyBorder="1" applyAlignment="1">
      <alignment horizontal="right" vertical="center" wrapText="1"/>
    </xf>
    <xf numFmtId="0" fontId="5" fillId="0" borderId="1" xfId="0" applyFont="1" applyBorder="1"/>
    <xf numFmtId="0" fontId="0" fillId="0" borderId="1" xfId="0" applyBorder="1" applyAlignment="1">
      <alignment horizontal="center" vertical="center"/>
    </xf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sz="1420">
                <a:ln>
                  <a:noFill/>
                </a:ln>
              </a:rPr>
              <a:t>使用キャラのメインステータスと劉備の筋力値の関係</a:t>
            </a:r>
            <a:r>
              <a:rPr lang="en-US" altLang="ja-JP" sz="1420">
                <a:ln>
                  <a:noFill/>
                </a:ln>
              </a:rPr>
              <a:t>(</a:t>
            </a:r>
            <a:r>
              <a:rPr lang="ja-JP" altLang="en-US" sz="1420">
                <a:ln>
                  <a:noFill/>
                </a:ln>
              </a:rPr>
              <a:t>条件を満たすのはグラフの上側</a:t>
            </a:r>
            <a:r>
              <a:rPr lang="en-US" altLang="ja-JP" sz="1420">
                <a:ln>
                  <a:noFill/>
                </a:ln>
              </a:rPr>
              <a:t>)</a:t>
            </a:r>
            <a:endParaRPr lang="ja-JP" altLang="en-US" sz="1420">
              <a:ln>
                <a:noFill/>
              </a:ln>
            </a:endParaRPr>
          </a:p>
        </c:rich>
      </c:tx>
      <c:layout>
        <c:manualLayout>
          <c:xMode val="edge"/>
          <c:yMode val="edge"/>
          <c:x val="0.14146478555367037"/>
          <c:y val="2.31355996370447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(ボス計算ツール!$I$41:$I$60,ボス計算ツール!$K$41:$K$60)</c:f>
              <c:numCache>
                <c:formatCode>#;\0;0</c:formatCode>
                <c:ptCount val="40"/>
                <c:pt idx="0">
                  <c:v>327875</c:v>
                </c:pt>
                <c:pt idx="1">
                  <c:v>323875</c:v>
                </c:pt>
                <c:pt idx="2">
                  <c:v>319875</c:v>
                </c:pt>
                <c:pt idx="3">
                  <c:v>315875</c:v>
                </c:pt>
                <c:pt idx="4">
                  <c:v>311875</c:v>
                </c:pt>
                <c:pt idx="5">
                  <c:v>307875</c:v>
                </c:pt>
                <c:pt idx="6">
                  <c:v>303875</c:v>
                </c:pt>
                <c:pt idx="7">
                  <c:v>299875</c:v>
                </c:pt>
                <c:pt idx="8">
                  <c:v>295875</c:v>
                </c:pt>
                <c:pt idx="9">
                  <c:v>291875</c:v>
                </c:pt>
                <c:pt idx="10">
                  <c:v>287875</c:v>
                </c:pt>
                <c:pt idx="11">
                  <c:v>283875</c:v>
                </c:pt>
                <c:pt idx="12">
                  <c:v>279875</c:v>
                </c:pt>
                <c:pt idx="13">
                  <c:v>275875</c:v>
                </c:pt>
                <c:pt idx="14">
                  <c:v>271875</c:v>
                </c:pt>
                <c:pt idx="15">
                  <c:v>267875</c:v>
                </c:pt>
                <c:pt idx="16">
                  <c:v>263875</c:v>
                </c:pt>
                <c:pt idx="17">
                  <c:v>259875</c:v>
                </c:pt>
                <c:pt idx="18">
                  <c:v>255875</c:v>
                </c:pt>
                <c:pt idx="19">
                  <c:v>251875</c:v>
                </c:pt>
                <c:pt idx="20">
                  <c:v>247875</c:v>
                </c:pt>
                <c:pt idx="21">
                  <c:v>243875</c:v>
                </c:pt>
                <c:pt idx="22">
                  <c:v>239875</c:v>
                </c:pt>
                <c:pt idx="23">
                  <c:v>235875</c:v>
                </c:pt>
                <c:pt idx="24">
                  <c:v>231875</c:v>
                </c:pt>
                <c:pt idx="25">
                  <c:v>227875</c:v>
                </c:pt>
                <c:pt idx="26">
                  <c:v>223875</c:v>
                </c:pt>
                <c:pt idx="27">
                  <c:v>219875</c:v>
                </c:pt>
                <c:pt idx="28">
                  <c:v>215875</c:v>
                </c:pt>
                <c:pt idx="29">
                  <c:v>211875</c:v>
                </c:pt>
                <c:pt idx="30">
                  <c:v>207875</c:v>
                </c:pt>
                <c:pt idx="31">
                  <c:v>203875</c:v>
                </c:pt>
                <c:pt idx="32">
                  <c:v>199875</c:v>
                </c:pt>
                <c:pt idx="33">
                  <c:v>195875</c:v>
                </c:pt>
                <c:pt idx="34">
                  <c:v>191875</c:v>
                </c:pt>
                <c:pt idx="35">
                  <c:v>187875</c:v>
                </c:pt>
                <c:pt idx="36">
                  <c:v>183875</c:v>
                </c:pt>
                <c:pt idx="37">
                  <c:v>179875</c:v>
                </c:pt>
                <c:pt idx="38">
                  <c:v>175875</c:v>
                </c:pt>
                <c:pt idx="39">
                  <c:v>171875</c:v>
                </c:pt>
              </c:numCache>
            </c:numRef>
          </c:xVal>
          <c:yVal>
            <c:numRef>
              <c:f>(ボス計算ツール!$H$41:$H$60,ボス計算ツール!$J$41:$J$60)</c:f>
              <c:numCache>
                <c:formatCode>General</c:formatCode>
                <c:ptCount val="40"/>
                <c:pt idx="0">
                  <c:v>110000</c:v>
                </c:pt>
                <c:pt idx="1">
                  <c:v>120000</c:v>
                </c:pt>
                <c:pt idx="2">
                  <c:v>130000</c:v>
                </c:pt>
                <c:pt idx="3">
                  <c:v>140000</c:v>
                </c:pt>
                <c:pt idx="4">
                  <c:v>150000</c:v>
                </c:pt>
                <c:pt idx="5">
                  <c:v>160000</c:v>
                </c:pt>
                <c:pt idx="6">
                  <c:v>170000</c:v>
                </c:pt>
                <c:pt idx="7">
                  <c:v>180000</c:v>
                </c:pt>
                <c:pt idx="8">
                  <c:v>190000</c:v>
                </c:pt>
                <c:pt idx="9">
                  <c:v>200000</c:v>
                </c:pt>
                <c:pt idx="10">
                  <c:v>210000</c:v>
                </c:pt>
                <c:pt idx="11">
                  <c:v>220000</c:v>
                </c:pt>
                <c:pt idx="12">
                  <c:v>230000</c:v>
                </c:pt>
                <c:pt idx="13">
                  <c:v>240000</c:v>
                </c:pt>
                <c:pt idx="14">
                  <c:v>250000</c:v>
                </c:pt>
                <c:pt idx="15">
                  <c:v>260000</c:v>
                </c:pt>
                <c:pt idx="16">
                  <c:v>270000</c:v>
                </c:pt>
                <c:pt idx="17">
                  <c:v>280000</c:v>
                </c:pt>
                <c:pt idx="18">
                  <c:v>290000</c:v>
                </c:pt>
                <c:pt idx="19">
                  <c:v>300000</c:v>
                </c:pt>
                <c:pt idx="20">
                  <c:v>310000</c:v>
                </c:pt>
                <c:pt idx="21">
                  <c:v>320000</c:v>
                </c:pt>
                <c:pt idx="22">
                  <c:v>330000</c:v>
                </c:pt>
                <c:pt idx="23">
                  <c:v>340000</c:v>
                </c:pt>
                <c:pt idx="24">
                  <c:v>350000</c:v>
                </c:pt>
                <c:pt idx="25">
                  <c:v>360000</c:v>
                </c:pt>
                <c:pt idx="26">
                  <c:v>370000</c:v>
                </c:pt>
                <c:pt idx="27">
                  <c:v>380000</c:v>
                </c:pt>
                <c:pt idx="28">
                  <c:v>390000</c:v>
                </c:pt>
                <c:pt idx="29">
                  <c:v>400000</c:v>
                </c:pt>
                <c:pt idx="30">
                  <c:v>410000</c:v>
                </c:pt>
                <c:pt idx="31">
                  <c:v>420000</c:v>
                </c:pt>
                <c:pt idx="32">
                  <c:v>430000</c:v>
                </c:pt>
                <c:pt idx="33">
                  <c:v>440000</c:v>
                </c:pt>
                <c:pt idx="34">
                  <c:v>450000</c:v>
                </c:pt>
                <c:pt idx="35">
                  <c:v>460000</c:v>
                </c:pt>
                <c:pt idx="36">
                  <c:v>470000</c:v>
                </c:pt>
                <c:pt idx="37">
                  <c:v>480000</c:v>
                </c:pt>
                <c:pt idx="38">
                  <c:v>490000</c:v>
                </c:pt>
                <c:pt idx="39">
                  <c:v>500000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内部計算用!#REF!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AE95-1941-B291-47B835A494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3485264"/>
        <c:axId val="913476752"/>
      </c:scatterChart>
      <c:valAx>
        <c:axId val="913485264"/>
        <c:scaling>
          <c:orientation val="minMax"/>
          <c:min val="5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使用キャラのメインステータス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#,##0_);[Red]\(#,##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13476752"/>
        <c:crosses val="autoZero"/>
        <c:crossBetween val="midCat"/>
      </c:valAx>
      <c:valAx>
        <c:axId val="91347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劉備の筋力値</a:t>
                </a:r>
                <a:endParaRPr lang="en-US" alt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ja-JP"/>
            </a:p>
          </c:txPr>
        </c:title>
        <c:numFmt formatCode="#,##0_);[Red]\(#,##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13485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660113</xdr:colOff>
      <xdr:row>39</xdr:row>
      <xdr:rowOff>108780</xdr:rowOff>
    </xdr:from>
    <xdr:to>
      <xdr:col>6</xdr:col>
      <xdr:colOff>314054</xdr:colOff>
      <xdr:row>57</xdr:row>
      <xdr:rowOff>117849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E18E2590-1E0D-5561-E0C6-5A6C70766A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idleheroine-research.com/data/enemydata_v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08588-63D3-4D6B-A5C4-1BB9838DCE73}">
  <dimension ref="A2:AE83"/>
  <sheetViews>
    <sheetView showGridLines="0" tabSelected="1" topLeftCell="A9" zoomScale="74" workbookViewId="0">
      <selection activeCell="G16" sqref="G16"/>
    </sheetView>
  </sheetViews>
  <sheetFormatPr defaultRowHeight="18"/>
  <cols>
    <col min="2" max="2" width="17.09765625" customWidth="1"/>
    <col min="3" max="4" width="15.69921875" customWidth="1"/>
    <col min="5" max="5" width="16.19921875" bestFit="1" customWidth="1"/>
    <col min="6" max="6" width="16.59765625" bestFit="1" customWidth="1"/>
    <col min="7" max="7" width="13" bestFit="1" customWidth="1"/>
    <col min="8" max="8" width="18.69921875" customWidth="1"/>
    <col min="9" max="9" width="20.69921875" bestFit="1" customWidth="1"/>
    <col min="10" max="10" width="18.59765625" customWidth="1"/>
    <col min="11" max="11" width="20.69921875" bestFit="1" customWidth="1"/>
    <col min="12" max="12" width="20.59765625" bestFit="1" customWidth="1"/>
  </cols>
  <sheetData>
    <row r="2" spans="2:31" ht="32.4">
      <c r="B2" s="34" t="s">
        <v>46</v>
      </c>
    </row>
    <row r="3" spans="2:31" ht="26.4">
      <c r="B3" s="50" t="s">
        <v>45</v>
      </c>
    </row>
    <row r="4" spans="2:31">
      <c r="B4" t="s">
        <v>43</v>
      </c>
    </row>
    <row r="5" spans="2:31">
      <c r="B5" t="s">
        <v>44</v>
      </c>
    </row>
    <row r="6" spans="2:31">
      <c r="B6" t="s">
        <v>31</v>
      </c>
    </row>
    <row r="7" spans="2:31">
      <c r="B7" t="s">
        <v>33</v>
      </c>
    </row>
    <row r="8" spans="2:31">
      <c r="B8" t="s">
        <v>32</v>
      </c>
    </row>
    <row r="9" spans="2:31">
      <c r="B9" s="14" t="s">
        <v>19</v>
      </c>
      <c r="AA9" s="13"/>
      <c r="AB9" s="13"/>
      <c r="AC9" s="13"/>
      <c r="AD9" s="13"/>
      <c r="AE9" s="13"/>
    </row>
    <row r="10" spans="2:31" ht="18.600000000000001" thickBot="1"/>
    <row r="11" spans="2:31">
      <c r="B11" s="24"/>
      <c r="C11" s="25"/>
      <c r="D11" s="25"/>
      <c r="E11" s="25"/>
      <c r="F11" s="25"/>
      <c r="G11" s="25"/>
      <c r="H11" s="26"/>
    </row>
    <row r="12" spans="2:31" ht="19.8">
      <c r="B12" s="27"/>
      <c r="C12" s="11" t="s">
        <v>14</v>
      </c>
      <c r="D12" s="40" t="s">
        <v>10</v>
      </c>
      <c r="E12" t="s">
        <v>16</v>
      </c>
      <c r="H12" s="28"/>
    </row>
    <row r="13" spans="2:31" ht="19.8">
      <c r="B13" s="27"/>
      <c r="C13" s="11" t="s">
        <v>15</v>
      </c>
      <c r="D13" s="41">
        <v>2050</v>
      </c>
      <c r="E13" t="s">
        <v>16</v>
      </c>
      <c r="H13" s="28"/>
    </row>
    <row r="14" spans="2:31" ht="19.8">
      <c r="B14" s="27"/>
      <c r="C14" s="19"/>
      <c r="D14" s="42"/>
      <c r="H14" s="28"/>
    </row>
    <row r="15" spans="2:31" ht="19.8">
      <c r="B15" s="27"/>
      <c r="C15" s="12" t="s">
        <v>13</v>
      </c>
      <c r="D15" s="43">
        <v>6</v>
      </c>
      <c r="E15" t="s">
        <v>5</v>
      </c>
      <c r="F15" s="12" t="s">
        <v>42</v>
      </c>
      <c r="G15" s="39">
        <v>528040</v>
      </c>
      <c r="H15" s="28"/>
    </row>
    <row r="16" spans="2:31">
      <c r="B16" s="27"/>
      <c r="C16" s="19"/>
      <c r="D16" s="19"/>
      <c r="H16" s="28"/>
    </row>
    <row r="17" spans="2:8">
      <c r="B17" s="27"/>
      <c r="C17" s="54" t="s">
        <v>39</v>
      </c>
      <c r="D17" s="55"/>
      <c r="F17" s="56" t="s">
        <v>40</v>
      </c>
      <c r="G17" s="57"/>
      <c r="H17" s="28"/>
    </row>
    <row r="18" spans="2:8" ht="19.8">
      <c r="B18" s="27"/>
      <c r="C18" s="35" t="s">
        <v>0</v>
      </c>
      <c r="D18" s="38">
        <v>0</v>
      </c>
      <c r="E18" t="s">
        <v>3</v>
      </c>
      <c r="F18" s="35" t="s">
        <v>0</v>
      </c>
      <c r="G18" s="38">
        <v>40</v>
      </c>
      <c r="H18" s="28" t="s">
        <v>3</v>
      </c>
    </row>
    <row r="19" spans="2:8" ht="19.8">
      <c r="B19" s="27"/>
      <c r="C19" s="36" t="s">
        <v>1</v>
      </c>
      <c r="D19" s="39">
        <v>60</v>
      </c>
      <c r="E19" t="s">
        <v>3</v>
      </c>
      <c r="F19" s="37" t="s">
        <v>1</v>
      </c>
      <c r="G19" s="39">
        <v>60</v>
      </c>
      <c r="H19" s="28" t="s">
        <v>3</v>
      </c>
    </row>
    <row r="20" spans="2:8" ht="19.8">
      <c r="B20" s="27"/>
      <c r="C20" s="37" t="s">
        <v>2</v>
      </c>
      <c r="D20" s="39">
        <v>0</v>
      </c>
      <c r="E20" t="s">
        <v>3</v>
      </c>
      <c r="F20" s="37" t="s">
        <v>2</v>
      </c>
      <c r="G20" s="39">
        <v>0</v>
      </c>
      <c r="H20" s="28" t="s">
        <v>3</v>
      </c>
    </row>
    <row r="21" spans="2:8" ht="19.8">
      <c r="B21" s="27"/>
      <c r="C21" s="37" t="s">
        <v>4</v>
      </c>
      <c r="D21" s="39">
        <v>0</v>
      </c>
      <c r="E21" t="s">
        <v>3</v>
      </c>
      <c r="F21" s="37" t="s">
        <v>4</v>
      </c>
      <c r="G21" s="39">
        <v>0</v>
      </c>
      <c r="H21" s="28" t="s">
        <v>3</v>
      </c>
    </row>
    <row r="22" spans="2:8" ht="19.8">
      <c r="B22" s="27"/>
      <c r="C22" s="37" t="s">
        <v>34</v>
      </c>
      <c r="D22" s="39">
        <v>0</v>
      </c>
      <c r="E22" t="s">
        <v>3</v>
      </c>
      <c r="F22" s="37" t="s">
        <v>34</v>
      </c>
      <c r="G22" s="39">
        <v>0</v>
      </c>
      <c r="H22" s="28" t="s">
        <v>3</v>
      </c>
    </row>
    <row r="23" spans="2:8" ht="19.8">
      <c r="B23" s="27"/>
      <c r="C23" s="12" t="s">
        <v>37</v>
      </c>
      <c r="D23" s="39">
        <v>0</v>
      </c>
      <c r="E23" t="s">
        <v>3</v>
      </c>
      <c r="F23" s="12" t="s">
        <v>37</v>
      </c>
      <c r="G23" s="39">
        <v>0</v>
      </c>
      <c r="H23" s="28" t="s">
        <v>3</v>
      </c>
    </row>
    <row r="24" spans="2:8" ht="19.8">
      <c r="B24" s="27"/>
      <c r="C24" s="12" t="s">
        <v>35</v>
      </c>
      <c r="D24" s="39">
        <v>0</v>
      </c>
      <c r="E24" t="s">
        <v>3</v>
      </c>
      <c r="F24" s="12" t="s">
        <v>35</v>
      </c>
      <c r="G24" s="39">
        <v>0</v>
      </c>
      <c r="H24" s="28" t="s">
        <v>3</v>
      </c>
    </row>
    <row r="25" spans="2:8" ht="19.8">
      <c r="B25" s="27"/>
      <c r="C25" s="12" t="s">
        <v>36</v>
      </c>
      <c r="D25" s="39">
        <v>0</v>
      </c>
      <c r="E25" t="s">
        <v>3</v>
      </c>
      <c r="F25" s="12" t="s">
        <v>36</v>
      </c>
      <c r="G25" s="39">
        <v>0</v>
      </c>
      <c r="H25" s="28" t="s">
        <v>3</v>
      </c>
    </row>
    <row r="26" spans="2:8" ht="19.8">
      <c r="B26" s="27"/>
      <c r="C26" s="12" t="s">
        <v>38</v>
      </c>
      <c r="D26" s="39">
        <v>0</v>
      </c>
      <c r="E26" t="s">
        <v>3</v>
      </c>
      <c r="F26" s="12" t="s">
        <v>38</v>
      </c>
      <c r="G26" s="39">
        <v>0</v>
      </c>
      <c r="H26" s="28" t="s">
        <v>3</v>
      </c>
    </row>
    <row r="27" spans="2:8" ht="18.600000000000001" thickBot="1">
      <c r="B27" s="29"/>
      <c r="C27" s="30"/>
      <c r="D27" s="30"/>
      <c r="E27" s="30"/>
      <c r="F27" s="30"/>
      <c r="G27" s="30"/>
      <c r="H27" s="31"/>
    </row>
    <row r="29" spans="2:8" ht="18.600000000000001" thickBot="1"/>
    <row r="30" spans="2:8" ht="18.600000000000001" thickBot="1">
      <c r="C30" s="24"/>
      <c r="D30" s="25"/>
      <c r="E30" s="25"/>
      <c r="F30" s="26"/>
    </row>
    <row r="31" spans="2:8" ht="20.399999999999999" thickBot="1">
      <c r="C31" s="27"/>
      <c r="D31" s="49" t="s">
        <v>17</v>
      </c>
      <c r="E31" s="19"/>
      <c r="F31" s="28"/>
    </row>
    <row r="32" spans="2:8">
      <c r="C32" s="27"/>
      <c r="D32" s="20" t="s">
        <v>27</v>
      </c>
      <c r="E32" s="22" t="str">
        <f>D12</f>
        <v>知力</v>
      </c>
      <c r="F32" s="28"/>
    </row>
    <row r="33" spans="2:11">
      <c r="C33" s="27"/>
      <c r="D33" s="21" t="s">
        <v>25</v>
      </c>
      <c r="E33" s="22">
        <f>D13</f>
        <v>2050</v>
      </c>
      <c r="F33" s="28"/>
    </row>
    <row r="34" spans="2:11">
      <c r="C34" s="27"/>
      <c r="D34" s="21" t="s">
        <v>28</v>
      </c>
      <c r="E34" s="23" cm="1">
        <f t="array" ref="E34">INDEX(内部計算用!E5:G25,内部計算用!I5,内部計算用!I6)</f>
        <v>595000</v>
      </c>
      <c r="F34" s="28"/>
    </row>
    <row r="35" spans="2:11" ht="18.600000000000001" thickBot="1">
      <c r="C35" s="27"/>
      <c r="E35" s="32"/>
      <c r="F35" s="28"/>
    </row>
    <row r="36" spans="2:11" ht="22.8" thickBot="1">
      <c r="C36" s="27"/>
      <c r="D36" s="48" t="s">
        <v>26</v>
      </c>
      <c r="E36" s="47">
        <f>($E$34*100/(100+$D$18+$D$19+$D$20+$D$22+$D$23+$D$24+$D$25+$D$26)-($G$15*(100+$G$18+$G$19+$G$20+$G$21+$G$22+$G$23+$G$24+$G$25+$G$26)/100*(0.4-($D$15-1)*0.04)))/(($D$21+100)/100)</f>
        <v>160659</v>
      </c>
      <c r="F36" s="28" t="s">
        <v>29</v>
      </c>
    </row>
    <row r="37" spans="2:11" ht="18.600000000000001" thickBot="1">
      <c r="C37" s="29"/>
      <c r="D37" s="30"/>
      <c r="E37" s="30"/>
      <c r="F37" s="31"/>
    </row>
    <row r="39" spans="2:11" ht="18.600000000000001" thickBot="1">
      <c r="B39" s="33" t="s">
        <v>30</v>
      </c>
    </row>
    <row r="40" spans="2:11" ht="18.600000000000001" thickBot="1">
      <c r="H40" s="4" t="s">
        <v>12</v>
      </c>
      <c r="I40" s="9" t="s">
        <v>18</v>
      </c>
      <c r="J40" s="4" t="s">
        <v>12</v>
      </c>
      <c r="K40" s="10" t="s">
        <v>18</v>
      </c>
    </row>
    <row r="41" spans="2:11">
      <c r="H41" s="5">
        <v>110000</v>
      </c>
      <c r="I41" s="8">
        <f t="shared" ref="I41:I60" si="0">($E$34*100/(100+$D$18+$D$19+$D$20+$D$22+$D$23+$D$24+$D$25+$D$26)-($H41*(100+$G$18+$G$19+$G$20+$G$21+$G$22+$G$23+$G$24+$G$25+$G$26)/100*(0.4-($D$15-1)*0.04)))/(($D$21+100)/100)</f>
        <v>327875</v>
      </c>
      <c r="J41" s="5">
        <v>310000</v>
      </c>
      <c r="K41" s="44">
        <f t="shared" ref="K41:K60" si="1">($E$34*100/(100+$D$18+$D$19+$D$20+$D$22+$D$23+$D$24+$D$25+$D$26)-($J41*(100+$G$18+$G$19+$G$20+$G$21+$G$22+$G$23+$G$24+$G$25+$G$26)/100*(0.4-($D$15-1)*0.04)))/(($D$21+100)/100)</f>
        <v>247875</v>
      </c>
    </row>
    <row r="42" spans="2:11">
      <c r="H42" s="6">
        <v>120000</v>
      </c>
      <c r="I42" s="8">
        <f t="shared" si="0"/>
        <v>323875</v>
      </c>
      <c r="J42" s="6">
        <v>320000</v>
      </c>
      <c r="K42" s="44">
        <f t="shared" si="1"/>
        <v>243875</v>
      </c>
    </row>
    <row r="43" spans="2:11">
      <c r="H43" s="6">
        <v>130000</v>
      </c>
      <c r="I43" s="8">
        <f t="shared" si="0"/>
        <v>319875</v>
      </c>
      <c r="J43" s="6">
        <v>330000</v>
      </c>
      <c r="K43" s="44">
        <f t="shared" si="1"/>
        <v>239875</v>
      </c>
    </row>
    <row r="44" spans="2:11">
      <c r="H44" s="6">
        <v>140000</v>
      </c>
      <c r="I44" s="8">
        <f t="shared" si="0"/>
        <v>315875</v>
      </c>
      <c r="J44" s="6">
        <v>340000</v>
      </c>
      <c r="K44" s="44">
        <f t="shared" si="1"/>
        <v>235875</v>
      </c>
    </row>
    <row r="45" spans="2:11">
      <c r="H45" s="6">
        <v>150000</v>
      </c>
      <c r="I45" s="8">
        <f t="shared" si="0"/>
        <v>311875</v>
      </c>
      <c r="J45" s="6">
        <v>350000</v>
      </c>
      <c r="K45" s="44">
        <f t="shared" si="1"/>
        <v>231875</v>
      </c>
    </row>
    <row r="46" spans="2:11">
      <c r="H46" s="6">
        <v>160000</v>
      </c>
      <c r="I46" s="8">
        <f t="shared" si="0"/>
        <v>307875</v>
      </c>
      <c r="J46" s="6">
        <v>360000</v>
      </c>
      <c r="K46" s="44">
        <f t="shared" si="1"/>
        <v>227875</v>
      </c>
    </row>
    <row r="47" spans="2:11">
      <c r="H47" s="6">
        <v>170000</v>
      </c>
      <c r="I47" s="8">
        <f t="shared" si="0"/>
        <v>303875</v>
      </c>
      <c r="J47" s="6">
        <v>370000</v>
      </c>
      <c r="K47" s="44">
        <f t="shared" si="1"/>
        <v>223875</v>
      </c>
    </row>
    <row r="48" spans="2:11">
      <c r="H48" s="6">
        <v>180000</v>
      </c>
      <c r="I48" s="8">
        <f t="shared" si="0"/>
        <v>299875</v>
      </c>
      <c r="J48" s="6">
        <v>380000</v>
      </c>
      <c r="K48" s="44">
        <f t="shared" si="1"/>
        <v>219875</v>
      </c>
    </row>
    <row r="49" spans="2:11">
      <c r="H49" s="6">
        <v>190000</v>
      </c>
      <c r="I49" s="8">
        <f t="shared" si="0"/>
        <v>295875</v>
      </c>
      <c r="J49" s="6">
        <v>390000</v>
      </c>
      <c r="K49" s="44">
        <f t="shared" si="1"/>
        <v>215875</v>
      </c>
    </row>
    <row r="50" spans="2:11">
      <c r="H50" s="6">
        <v>200000</v>
      </c>
      <c r="I50" s="8">
        <f t="shared" si="0"/>
        <v>291875</v>
      </c>
      <c r="J50" s="6">
        <v>400000</v>
      </c>
      <c r="K50" s="44">
        <f t="shared" si="1"/>
        <v>211875</v>
      </c>
    </row>
    <row r="51" spans="2:11">
      <c r="H51" s="6">
        <v>210000</v>
      </c>
      <c r="I51" s="8">
        <f t="shared" si="0"/>
        <v>287875</v>
      </c>
      <c r="J51" s="6">
        <v>410000</v>
      </c>
      <c r="K51" s="44">
        <f t="shared" si="1"/>
        <v>207875</v>
      </c>
    </row>
    <row r="52" spans="2:11">
      <c r="H52" s="6">
        <v>220000</v>
      </c>
      <c r="I52" s="8">
        <f t="shared" si="0"/>
        <v>283875</v>
      </c>
      <c r="J52" s="6">
        <v>420000</v>
      </c>
      <c r="K52" s="44">
        <f t="shared" si="1"/>
        <v>203875</v>
      </c>
    </row>
    <row r="53" spans="2:11">
      <c r="H53" s="6">
        <v>230000</v>
      </c>
      <c r="I53" s="8">
        <f t="shared" si="0"/>
        <v>279875</v>
      </c>
      <c r="J53" s="6">
        <v>430000</v>
      </c>
      <c r="K53" s="44">
        <f t="shared" si="1"/>
        <v>199875</v>
      </c>
    </row>
    <row r="54" spans="2:11">
      <c r="H54" s="6">
        <v>240000</v>
      </c>
      <c r="I54" s="8">
        <f t="shared" si="0"/>
        <v>275875</v>
      </c>
      <c r="J54" s="6">
        <v>440000</v>
      </c>
      <c r="K54" s="44">
        <f t="shared" si="1"/>
        <v>195875</v>
      </c>
    </row>
    <row r="55" spans="2:11">
      <c r="H55" s="6">
        <v>250000</v>
      </c>
      <c r="I55" s="8">
        <f t="shared" si="0"/>
        <v>271875</v>
      </c>
      <c r="J55" s="6">
        <v>450000</v>
      </c>
      <c r="K55" s="44">
        <f t="shared" si="1"/>
        <v>191875</v>
      </c>
    </row>
    <row r="56" spans="2:11">
      <c r="H56" s="6">
        <v>260000</v>
      </c>
      <c r="I56" s="8">
        <f t="shared" si="0"/>
        <v>267875</v>
      </c>
      <c r="J56" s="6">
        <v>460000</v>
      </c>
      <c r="K56" s="44">
        <f t="shared" si="1"/>
        <v>187875</v>
      </c>
    </row>
    <row r="57" spans="2:11">
      <c r="H57" s="6">
        <v>270000</v>
      </c>
      <c r="I57" s="8">
        <f t="shared" si="0"/>
        <v>263875</v>
      </c>
      <c r="J57" s="6">
        <v>470000</v>
      </c>
      <c r="K57" s="44">
        <f t="shared" si="1"/>
        <v>183875</v>
      </c>
    </row>
    <row r="58" spans="2:11">
      <c r="H58" s="6">
        <v>280000</v>
      </c>
      <c r="I58" s="8">
        <f t="shared" si="0"/>
        <v>259875</v>
      </c>
      <c r="J58" s="6">
        <v>480000</v>
      </c>
      <c r="K58" s="44">
        <f t="shared" si="1"/>
        <v>179875</v>
      </c>
    </row>
    <row r="59" spans="2:11">
      <c r="H59" s="6">
        <v>290000</v>
      </c>
      <c r="I59" s="8">
        <f t="shared" si="0"/>
        <v>255875</v>
      </c>
      <c r="J59" s="6">
        <v>490000</v>
      </c>
      <c r="K59" s="44">
        <f t="shared" si="1"/>
        <v>175875</v>
      </c>
    </row>
    <row r="60" spans="2:11" ht="18.600000000000001" thickBot="1">
      <c r="B60" s="2" t="s">
        <v>41</v>
      </c>
      <c r="H60" s="7">
        <v>300000</v>
      </c>
      <c r="I60" s="45">
        <f t="shared" si="0"/>
        <v>251875</v>
      </c>
      <c r="J60" s="7">
        <v>500000</v>
      </c>
      <c r="K60" s="46">
        <f t="shared" si="1"/>
        <v>171875</v>
      </c>
    </row>
    <row r="62" spans="2:11">
      <c r="B62" s="53"/>
      <c r="C62" s="3" t="s">
        <v>7</v>
      </c>
      <c r="D62" s="3" t="s">
        <v>8</v>
      </c>
      <c r="E62" s="3" t="s">
        <v>6</v>
      </c>
    </row>
    <row r="63" spans="2:11">
      <c r="B63" s="53" t="s">
        <v>47</v>
      </c>
      <c r="C63" s="1">
        <v>280000</v>
      </c>
      <c r="D63" s="1">
        <v>280000</v>
      </c>
      <c r="E63" s="1">
        <v>350000</v>
      </c>
    </row>
    <row r="64" spans="2:11">
      <c r="B64" s="53" t="s">
        <v>48</v>
      </c>
      <c r="C64" s="1">
        <v>320000</v>
      </c>
      <c r="D64" s="1">
        <v>400000</v>
      </c>
      <c r="E64" s="1">
        <v>320000</v>
      </c>
    </row>
    <row r="65" spans="1:5">
      <c r="B65" s="53" t="s">
        <v>49</v>
      </c>
      <c r="C65" s="1">
        <v>360000</v>
      </c>
      <c r="D65" s="1">
        <v>360000</v>
      </c>
      <c r="E65" s="1">
        <v>450000</v>
      </c>
    </row>
    <row r="66" spans="1:5">
      <c r="B66" s="53" t="s">
        <v>50</v>
      </c>
      <c r="C66" s="1">
        <v>500000</v>
      </c>
      <c r="D66" s="1">
        <v>400000</v>
      </c>
      <c r="E66" s="1">
        <v>400000</v>
      </c>
    </row>
    <row r="67" spans="1:5">
      <c r="B67" s="53" t="s">
        <v>51</v>
      </c>
      <c r="C67" s="1">
        <v>440000</v>
      </c>
      <c r="D67" s="1">
        <v>440000</v>
      </c>
      <c r="E67" s="1">
        <v>550000</v>
      </c>
    </row>
    <row r="68" spans="1:5">
      <c r="B68" s="53" t="s">
        <v>52</v>
      </c>
      <c r="C68" s="1">
        <v>392000</v>
      </c>
      <c r="D68" s="1">
        <v>392000</v>
      </c>
      <c r="E68" s="1">
        <v>560000</v>
      </c>
    </row>
    <row r="69" spans="1:5">
      <c r="B69" s="53" t="s">
        <v>53</v>
      </c>
      <c r="C69" s="1">
        <v>399000</v>
      </c>
      <c r="D69" s="1">
        <v>570000</v>
      </c>
      <c r="E69" s="1">
        <v>399000</v>
      </c>
    </row>
    <row r="70" spans="1:5">
      <c r="B70" s="53" t="s">
        <v>54</v>
      </c>
      <c r="C70" s="1">
        <v>406000</v>
      </c>
      <c r="D70" s="1">
        <v>580000</v>
      </c>
      <c r="E70" s="1">
        <v>406000</v>
      </c>
    </row>
    <row r="71" spans="1:5">
      <c r="B71" s="53" t="s">
        <v>55</v>
      </c>
      <c r="C71" s="1">
        <v>590000</v>
      </c>
      <c r="D71" s="1">
        <v>413000</v>
      </c>
      <c r="E71" s="1">
        <v>413000</v>
      </c>
    </row>
    <row r="72" spans="1:5">
      <c r="A72" s="33"/>
      <c r="B72" s="53">
        <v>2000</v>
      </c>
      <c r="C72" s="1">
        <v>600000</v>
      </c>
      <c r="D72" s="1">
        <v>420000</v>
      </c>
      <c r="E72" s="1">
        <v>420000</v>
      </c>
    </row>
    <row r="73" spans="1:5">
      <c r="A73" s="33"/>
      <c r="B73" s="53" t="s">
        <v>56</v>
      </c>
      <c r="C73" s="1">
        <v>605000</v>
      </c>
      <c r="D73" s="1">
        <v>423500</v>
      </c>
      <c r="E73" s="1">
        <v>423500</v>
      </c>
    </row>
    <row r="74" spans="1:5">
      <c r="B74" s="53" t="s">
        <v>57</v>
      </c>
      <c r="C74" s="1">
        <v>437000</v>
      </c>
      <c r="D74" s="1">
        <v>437500</v>
      </c>
      <c r="E74" s="51">
        <v>625000</v>
      </c>
    </row>
    <row r="75" spans="1:5">
      <c r="B75" s="53" t="s">
        <v>58</v>
      </c>
      <c r="C75" s="1">
        <v>455000</v>
      </c>
      <c r="D75" s="1">
        <v>455000</v>
      </c>
      <c r="E75" s="52">
        <v>650000</v>
      </c>
    </row>
    <row r="76" spans="1:5">
      <c r="B76" s="53" t="s">
        <v>59</v>
      </c>
      <c r="C76" s="1">
        <v>472000</v>
      </c>
      <c r="D76" s="1">
        <v>472000</v>
      </c>
      <c r="E76" s="52">
        <v>675000</v>
      </c>
    </row>
    <row r="77" spans="1:5">
      <c r="B77" s="53" t="s">
        <v>60</v>
      </c>
      <c r="C77" s="1">
        <v>490000</v>
      </c>
      <c r="D77" s="1">
        <v>700000</v>
      </c>
      <c r="E77" s="52">
        <v>490000</v>
      </c>
    </row>
    <row r="78" spans="1:5">
      <c r="B78" s="53" t="s">
        <v>61</v>
      </c>
      <c r="C78" s="1">
        <v>507000</v>
      </c>
      <c r="D78" s="1">
        <v>725000</v>
      </c>
      <c r="E78" s="52">
        <v>507000</v>
      </c>
    </row>
    <row r="79" spans="1:5">
      <c r="B79" s="53" t="s">
        <v>62</v>
      </c>
      <c r="C79" s="1">
        <v>750000</v>
      </c>
      <c r="D79" s="1">
        <v>525000</v>
      </c>
      <c r="E79" s="52">
        <v>525000</v>
      </c>
    </row>
    <row r="80" spans="1:5">
      <c r="B80" s="53" t="s">
        <v>63</v>
      </c>
      <c r="C80" s="1">
        <v>542000</v>
      </c>
      <c r="D80" s="1">
        <v>775000</v>
      </c>
      <c r="E80" s="52">
        <v>542000</v>
      </c>
    </row>
    <row r="81" spans="2:5">
      <c r="B81" s="53" t="s">
        <v>64</v>
      </c>
      <c r="C81" s="1">
        <v>560000</v>
      </c>
      <c r="D81" s="1">
        <v>560000</v>
      </c>
      <c r="E81" s="52">
        <v>800000</v>
      </c>
    </row>
    <row r="82" spans="2:5">
      <c r="B82" s="53" t="s">
        <v>65</v>
      </c>
      <c r="C82" s="1">
        <v>577500</v>
      </c>
      <c r="D82" s="1">
        <v>577500</v>
      </c>
      <c r="E82" s="52">
        <v>825000</v>
      </c>
    </row>
    <row r="83" spans="2:5">
      <c r="B83" s="53">
        <v>2050</v>
      </c>
      <c r="C83" s="1">
        <v>595000</v>
      </c>
      <c r="D83" s="1">
        <v>850000</v>
      </c>
      <c r="E83" s="52">
        <v>595000</v>
      </c>
    </row>
  </sheetData>
  <mergeCells count="2">
    <mergeCell ref="C17:D17"/>
    <mergeCell ref="F17:G17"/>
  </mergeCells>
  <phoneticPr fontId="1"/>
  <hyperlinks>
    <hyperlink ref="B9" r:id="rId1" location="%E6%88%A6%E5%BD%B9%E3%83%9C%E3%82%B9-%E3%82%B9%E3%83%86%E3%83%BC%E3%82%BF%E3%82%B9%E7%B0%A1%E6%98%93%E7%89%8818282050%E3%82%B9%E3%83%86%E3%83%BC%E3%82%B8" xr:uid="{5AAADE54-3C84-4889-875A-874B41B10DC0}"/>
  </hyperlinks>
  <pageMargins left="0.7" right="0.7" top="0.75" bottom="0.75" header="0.3" footer="0.3"/>
  <pageSetup paperSize="9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0F98324-35CE-45EB-89F1-A64AF179D172}">
          <x14:formula1>
            <xm:f>内部計算用!$B$2:$B$4</xm:f>
          </x14:formula1>
          <xm:sqref>D12</xm:sqref>
        </x14:dataValidation>
        <x14:dataValidation type="list" allowBlank="1" showInputMessage="1" showErrorMessage="1" xr:uid="{60535D05-8430-4602-9F00-38C084DA3022}">
          <x14:formula1>
            <xm:f>内部計算用!$C$5:$C$25</xm:f>
          </x14:formula1>
          <xm:sqref>D13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8A2EC-CFB0-43C6-9FEE-5342F4407E65}">
  <dimension ref="B2:V27"/>
  <sheetViews>
    <sheetView workbookViewId="0"/>
  </sheetViews>
  <sheetFormatPr defaultRowHeight="18"/>
  <cols>
    <col min="3" max="3" width="10.19921875" bestFit="1" customWidth="1"/>
    <col min="9" max="9" width="8.796875" bestFit="1" customWidth="1"/>
  </cols>
  <sheetData>
    <row r="2" spans="2:22">
      <c r="B2" t="s">
        <v>9</v>
      </c>
    </row>
    <row r="3" spans="2:22">
      <c r="B3" t="s">
        <v>11</v>
      </c>
    </row>
    <row r="4" spans="2:22">
      <c r="B4" t="s">
        <v>10</v>
      </c>
      <c r="C4" t="s">
        <v>24</v>
      </c>
      <c r="D4" t="s">
        <v>21</v>
      </c>
      <c r="E4" t="s">
        <v>22</v>
      </c>
      <c r="F4" t="s">
        <v>23</v>
      </c>
      <c r="G4" t="s">
        <v>20</v>
      </c>
    </row>
    <row r="5" spans="2:22" ht="19.2">
      <c r="C5" t="s">
        <v>47</v>
      </c>
      <c r="D5">
        <v>222</v>
      </c>
      <c r="E5">
        <v>280000</v>
      </c>
      <c r="F5">
        <v>280000</v>
      </c>
      <c r="G5">
        <v>350000</v>
      </c>
      <c r="H5" s="17"/>
      <c r="I5" s="17">
        <f>IF(ボス計算ツール!D13=内部計算用!C5,1,IF(ボス計算ツール!D13=内部計算用!C6,2,IF(ボス計算ツール!D13=内部計算用!C7,3,IF(ボス計算ツール!D13=C8,4,IF(ボス計算ツール!D13=C9,5,IF(ボス計算ツール!D13=C10,6,IF(ボス計算ツール!D13=C11,7,IF(ボス計算ツール!D13=C12,8,IF(ボス計算ツール!D13=C13,9,IF(ボス計算ツール!D13=C14,10,IF(ボス計算ツール!D13=C15,11,IF(ボス計算ツール!D13=C16,12,IF(ボス計算ツール!D13=C17,13,IF(ボス計算ツール!D13=C18,14,IF(ボス計算ツール!D13=C19,15,IF(ボス計算ツール!D13=C20,16,IF(ボス計算ツール!D13=C21,17,IF(ボス計算ツール!D13=C22,18,IF(ボス計算ツール!D13=C23,19,IF(ボス計算ツール!D13=C24,20,IF(ボス計算ツール!D13=C25,21,0)))))))))))))))))))))</f>
        <v>21</v>
      </c>
      <c r="L5" s="17"/>
      <c r="M5" s="18"/>
      <c r="N5" s="18"/>
      <c r="O5" s="18"/>
      <c r="P5" s="18"/>
      <c r="Q5" s="18"/>
      <c r="R5" s="18"/>
      <c r="S5" s="17"/>
      <c r="T5" s="17"/>
      <c r="U5" s="17"/>
      <c r="V5" s="15"/>
    </row>
    <row r="6" spans="2:22" ht="19.2">
      <c r="C6" t="s">
        <v>48</v>
      </c>
      <c r="D6">
        <v>223</v>
      </c>
      <c r="E6">
        <v>320000</v>
      </c>
      <c r="F6">
        <v>400000</v>
      </c>
      <c r="G6">
        <v>320000</v>
      </c>
      <c r="H6" s="17"/>
      <c r="I6">
        <f>IF(ボス計算ツール!D12="筋力",1,IF(ボス計算ツール!D12="敏捷",2,IF(ボス計算ツール!D12="知力",3,0)))</f>
        <v>3</v>
      </c>
      <c r="L6" s="17"/>
      <c r="M6" s="18"/>
      <c r="N6" s="18"/>
      <c r="O6" s="18"/>
      <c r="P6" s="18"/>
      <c r="Q6" s="18"/>
      <c r="R6" s="18"/>
      <c r="S6" s="17"/>
      <c r="T6" s="17"/>
      <c r="U6" s="17"/>
      <c r="V6" s="15"/>
    </row>
    <row r="7" spans="2:22" ht="19.2">
      <c r="C7" t="s">
        <v>49</v>
      </c>
      <c r="D7">
        <v>224</v>
      </c>
      <c r="E7">
        <v>360000</v>
      </c>
      <c r="F7">
        <v>360000</v>
      </c>
      <c r="G7">
        <v>450000</v>
      </c>
      <c r="H7" s="17"/>
      <c r="I7" s="17"/>
      <c r="L7" s="17"/>
      <c r="M7" s="18"/>
      <c r="N7" s="18"/>
      <c r="O7" s="18"/>
      <c r="P7" s="18"/>
      <c r="Q7" s="18"/>
      <c r="R7" s="18"/>
      <c r="S7" s="17"/>
      <c r="T7" s="17"/>
      <c r="U7" s="17"/>
      <c r="V7" s="15"/>
    </row>
    <row r="8" spans="2:22" ht="19.2">
      <c r="C8" t="s">
        <v>50</v>
      </c>
      <c r="D8">
        <v>225</v>
      </c>
      <c r="E8">
        <v>500000</v>
      </c>
      <c r="F8">
        <v>400000</v>
      </c>
      <c r="G8">
        <v>400000</v>
      </c>
      <c r="H8" s="17"/>
      <c r="I8" s="17"/>
      <c r="L8" s="17"/>
      <c r="M8" s="18"/>
      <c r="N8" s="18"/>
      <c r="O8" s="18"/>
      <c r="P8" s="18"/>
      <c r="Q8" s="18"/>
      <c r="R8" s="18"/>
      <c r="S8" s="17"/>
      <c r="T8" s="17"/>
      <c r="U8" s="17"/>
      <c r="V8" s="15"/>
    </row>
    <row r="9" spans="2:22" ht="19.2">
      <c r="C9" t="s">
        <v>51</v>
      </c>
      <c r="D9">
        <v>226</v>
      </c>
      <c r="E9">
        <v>440000</v>
      </c>
      <c r="F9">
        <v>440000</v>
      </c>
      <c r="G9">
        <v>550000</v>
      </c>
      <c r="H9" s="17"/>
      <c r="I9" s="17"/>
      <c r="L9" s="17"/>
      <c r="M9" s="18"/>
      <c r="N9" s="18"/>
      <c r="O9" s="18"/>
      <c r="P9" s="18"/>
      <c r="Q9" s="18"/>
      <c r="R9" s="18"/>
      <c r="S9" s="17"/>
      <c r="T9" s="17"/>
      <c r="U9" s="17"/>
      <c r="V9" s="15"/>
    </row>
    <row r="10" spans="2:22" ht="19.2">
      <c r="C10" t="s">
        <v>52</v>
      </c>
      <c r="D10">
        <v>227</v>
      </c>
      <c r="E10">
        <v>392000</v>
      </c>
      <c r="F10">
        <v>392000</v>
      </c>
      <c r="G10">
        <v>560000</v>
      </c>
      <c r="H10" s="17"/>
      <c r="I10" s="17"/>
      <c r="L10" s="17"/>
      <c r="M10" s="18"/>
      <c r="N10" s="17"/>
      <c r="O10" s="18"/>
      <c r="P10" s="18"/>
      <c r="Q10" s="18"/>
      <c r="R10" s="18"/>
      <c r="S10" s="18"/>
      <c r="T10" s="18"/>
      <c r="U10" s="18"/>
      <c r="V10" s="15"/>
    </row>
    <row r="11" spans="2:22" ht="19.2">
      <c r="C11" t="s">
        <v>53</v>
      </c>
      <c r="D11">
        <v>228</v>
      </c>
      <c r="E11">
        <v>399000</v>
      </c>
      <c r="F11">
        <v>570000</v>
      </c>
      <c r="G11">
        <v>399000</v>
      </c>
      <c r="H11" s="17"/>
      <c r="I11" s="17"/>
      <c r="L11" s="17"/>
      <c r="M11" s="18"/>
      <c r="N11" s="17"/>
      <c r="O11" s="17"/>
      <c r="P11" s="18"/>
      <c r="Q11" s="18"/>
      <c r="R11" s="18"/>
      <c r="S11" s="18"/>
      <c r="T11" s="18"/>
      <c r="U11" s="18"/>
      <c r="V11" s="15"/>
    </row>
    <row r="12" spans="2:22" ht="19.2">
      <c r="C12" t="s">
        <v>54</v>
      </c>
      <c r="D12">
        <v>229</v>
      </c>
      <c r="E12">
        <v>406000</v>
      </c>
      <c r="F12">
        <v>580000</v>
      </c>
      <c r="G12">
        <v>406000</v>
      </c>
      <c r="H12" s="17"/>
      <c r="I12" s="17"/>
      <c r="L12" s="17"/>
      <c r="M12" s="18"/>
      <c r="N12" s="18"/>
      <c r="O12" s="18"/>
      <c r="P12" s="18"/>
      <c r="Q12" s="18"/>
      <c r="R12" s="18"/>
      <c r="S12" s="18"/>
      <c r="T12" s="18"/>
      <c r="U12" s="18"/>
      <c r="V12" s="15"/>
    </row>
    <row r="13" spans="2:22" ht="19.2">
      <c r="C13" t="s">
        <v>55</v>
      </c>
      <c r="D13">
        <v>230</v>
      </c>
      <c r="E13">
        <v>590000</v>
      </c>
      <c r="F13">
        <v>413000</v>
      </c>
      <c r="G13">
        <v>413000</v>
      </c>
      <c r="H13" s="17"/>
      <c r="I13" s="17"/>
      <c r="L13" s="17"/>
      <c r="M13" s="18"/>
      <c r="N13" s="18"/>
      <c r="O13" s="18"/>
      <c r="P13" s="18"/>
      <c r="Q13" s="18"/>
      <c r="R13" s="18"/>
      <c r="S13" s="18"/>
      <c r="T13" s="18"/>
      <c r="U13" s="18"/>
      <c r="V13" s="15"/>
    </row>
    <row r="14" spans="2:22" ht="19.2">
      <c r="C14">
        <v>2000</v>
      </c>
      <c r="D14">
        <v>231</v>
      </c>
      <c r="E14">
        <v>600000</v>
      </c>
      <c r="F14">
        <v>420000</v>
      </c>
      <c r="G14">
        <v>420000</v>
      </c>
      <c r="H14" s="17"/>
      <c r="I14" s="17"/>
      <c r="L14" s="17"/>
      <c r="M14" s="18"/>
      <c r="N14" s="18"/>
      <c r="O14" s="18"/>
      <c r="P14" s="18"/>
      <c r="Q14" s="18"/>
      <c r="R14" s="18"/>
      <c r="S14" s="18"/>
      <c r="T14" s="18"/>
      <c r="U14" s="18"/>
      <c r="V14" s="15"/>
    </row>
    <row r="15" spans="2:22" ht="19.2">
      <c r="C15" t="s">
        <v>56</v>
      </c>
      <c r="D15">
        <v>231</v>
      </c>
      <c r="E15">
        <v>605000</v>
      </c>
      <c r="F15">
        <v>423500</v>
      </c>
      <c r="G15">
        <v>423500</v>
      </c>
      <c r="H15" s="16"/>
      <c r="I15" s="17"/>
      <c r="L15" s="17"/>
      <c r="M15" s="18"/>
      <c r="N15" s="18"/>
      <c r="O15" s="18"/>
      <c r="P15" s="17"/>
      <c r="Q15" s="17"/>
      <c r="R15" s="17"/>
      <c r="S15" s="17"/>
      <c r="T15" s="17"/>
      <c r="U15" s="17"/>
      <c r="V15" s="15"/>
    </row>
    <row r="16" spans="2:22" ht="19.2">
      <c r="C16" t="s">
        <v>57</v>
      </c>
      <c r="D16">
        <v>232</v>
      </c>
      <c r="E16">
        <v>437000</v>
      </c>
      <c r="F16">
        <v>437500</v>
      </c>
      <c r="G16" s="17">
        <v>625000</v>
      </c>
      <c r="H16" s="17"/>
      <c r="I16" s="17"/>
      <c r="L16" s="17"/>
      <c r="M16" s="18"/>
      <c r="N16" s="18"/>
      <c r="O16" s="18"/>
      <c r="P16" s="17"/>
      <c r="Q16" s="17"/>
      <c r="R16" s="17"/>
      <c r="S16" s="17"/>
      <c r="T16" s="17"/>
      <c r="U16" s="17"/>
      <c r="V16" s="15"/>
    </row>
    <row r="17" spans="3:22" ht="19.2">
      <c r="C17" t="s">
        <v>58</v>
      </c>
      <c r="D17">
        <v>233</v>
      </c>
      <c r="E17">
        <v>455000</v>
      </c>
      <c r="F17">
        <v>455000</v>
      </c>
      <c r="G17" s="16">
        <v>650000</v>
      </c>
      <c r="H17" s="17"/>
      <c r="I17" s="17"/>
      <c r="L17" s="17"/>
      <c r="M17" s="18"/>
      <c r="N17" s="18"/>
      <c r="O17" s="18"/>
      <c r="P17" s="17"/>
      <c r="Q17" s="17"/>
      <c r="R17" s="17"/>
      <c r="S17" s="17"/>
      <c r="T17" s="17"/>
      <c r="U17" s="17"/>
      <c r="V17" s="15"/>
    </row>
    <row r="18" spans="3:22" ht="19.2">
      <c r="C18" t="s">
        <v>59</v>
      </c>
      <c r="D18">
        <v>234</v>
      </c>
      <c r="E18">
        <v>472000</v>
      </c>
      <c r="F18">
        <v>472000</v>
      </c>
      <c r="G18" s="16">
        <v>675000</v>
      </c>
      <c r="H18" s="17"/>
      <c r="I18" s="17"/>
      <c r="L18" s="17"/>
      <c r="M18" s="18"/>
      <c r="N18" s="18"/>
      <c r="O18" s="18"/>
      <c r="P18" s="17"/>
      <c r="Q18" s="17"/>
      <c r="R18" s="17"/>
      <c r="S18" s="17"/>
      <c r="T18" s="17"/>
      <c r="U18" s="17"/>
      <c r="V18" s="15"/>
    </row>
    <row r="19" spans="3:22" ht="19.2">
      <c r="C19" t="s">
        <v>60</v>
      </c>
      <c r="D19">
        <v>235</v>
      </c>
      <c r="E19">
        <v>490000</v>
      </c>
      <c r="F19">
        <v>700000</v>
      </c>
      <c r="G19" s="16">
        <v>490000</v>
      </c>
      <c r="H19" s="17"/>
      <c r="I19" s="17"/>
      <c r="L19" s="17"/>
      <c r="M19" s="18"/>
      <c r="N19" s="18"/>
      <c r="O19" s="18"/>
      <c r="P19" s="17"/>
      <c r="Q19" s="17"/>
      <c r="R19" s="17"/>
      <c r="S19" s="17"/>
      <c r="T19" s="17"/>
      <c r="U19" s="17"/>
      <c r="V19" s="15"/>
    </row>
    <row r="20" spans="3:22" ht="19.2">
      <c r="C20" t="s">
        <v>61</v>
      </c>
      <c r="D20">
        <v>236</v>
      </c>
      <c r="E20">
        <v>507000</v>
      </c>
      <c r="F20">
        <v>725000</v>
      </c>
      <c r="G20" s="16">
        <v>507000</v>
      </c>
      <c r="H20" s="17"/>
      <c r="I20" s="17"/>
      <c r="L20" s="17"/>
      <c r="M20" s="18"/>
      <c r="N20" s="18"/>
      <c r="O20" s="18"/>
      <c r="P20" s="17"/>
      <c r="Q20" s="17"/>
      <c r="R20" s="17"/>
      <c r="S20" s="17"/>
      <c r="T20" s="17"/>
      <c r="U20" s="17"/>
      <c r="V20" s="15"/>
    </row>
    <row r="21" spans="3:22" ht="19.2">
      <c r="C21" t="s">
        <v>62</v>
      </c>
      <c r="D21">
        <v>237</v>
      </c>
      <c r="E21">
        <v>750000</v>
      </c>
      <c r="F21">
        <v>525000</v>
      </c>
      <c r="G21" s="16">
        <v>525000</v>
      </c>
      <c r="H21" s="17"/>
      <c r="I21" s="17"/>
      <c r="L21" s="17"/>
      <c r="M21" s="18"/>
      <c r="N21" s="18"/>
      <c r="O21" s="18"/>
      <c r="P21" s="17"/>
      <c r="Q21" s="17"/>
      <c r="R21" s="17"/>
      <c r="S21" s="17"/>
      <c r="T21" s="17"/>
      <c r="U21" s="17"/>
      <c r="V21" s="15"/>
    </row>
    <row r="22" spans="3:22" ht="19.2">
      <c r="C22" t="s">
        <v>63</v>
      </c>
      <c r="D22">
        <v>238</v>
      </c>
      <c r="E22">
        <v>542000</v>
      </c>
      <c r="F22">
        <v>775000</v>
      </c>
      <c r="G22" s="16">
        <v>542000</v>
      </c>
      <c r="H22" s="17"/>
      <c r="I22" s="17"/>
      <c r="L22" s="17"/>
      <c r="M22" s="18"/>
      <c r="N22" s="18"/>
      <c r="O22" s="18"/>
      <c r="P22" s="17"/>
      <c r="Q22" s="17"/>
      <c r="R22" s="17"/>
      <c r="S22" s="17"/>
      <c r="T22" s="17"/>
      <c r="U22" s="17"/>
      <c r="V22" s="15"/>
    </row>
    <row r="23" spans="3:22" ht="19.2">
      <c r="C23" t="s">
        <v>64</v>
      </c>
      <c r="D23">
        <v>239</v>
      </c>
      <c r="E23">
        <v>560000</v>
      </c>
      <c r="F23">
        <v>560000</v>
      </c>
      <c r="G23" s="16">
        <v>800000</v>
      </c>
      <c r="H23" s="17"/>
      <c r="I23" s="17"/>
      <c r="L23" s="17"/>
      <c r="M23" s="18"/>
      <c r="N23" s="18"/>
      <c r="O23" s="18"/>
      <c r="P23" s="17"/>
      <c r="Q23" s="17"/>
      <c r="R23" s="17"/>
      <c r="S23" s="17"/>
      <c r="T23" s="17"/>
      <c r="U23" s="17"/>
      <c r="V23" s="15"/>
    </row>
    <row r="24" spans="3:22" ht="19.2">
      <c r="C24" t="s">
        <v>65</v>
      </c>
      <c r="D24">
        <v>240</v>
      </c>
      <c r="E24">
        <v>577500</v>
      </c>
      <c r="F24">
        <v>577500</v>
      </c>
      <c r="G24" s="16">
        <v>825000</v>
      </c>
      <c r="H24" s="17"/>
      <c r="I24" s="17"/>
      <c r="L24" s="17"/>
      <c r="M24" s="18"/>
      <c r="N24" s="18"/>
      <c r="O24" s="18"/>
      <c r="P24" s="17"/>
      <c r="Q24" s="17"/>
      <c r="R24" s="17"/>
      <c r="S24" s="17"/>
      <c r="T24" s="17"/>
      <c r="U24" s="17"/>
      <c r="V24" s="15"/>
    </row>
    <row r="25" spans="3:22">
      <c r="C25">
        <v>2050</v>
      </c>
      <c r="D25">
        <v>241</v>
      </c>
      <c r="E25">
        <v>595000</v>
      </c>
      <c r="F25">
        <v>850000</v>
      </c>
      <c r="G25" s="16">
        <v>595000</v>
      </c>
      <c r="I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</row>
    <row r="26" spans="3:22">
      <c r="I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</row>
    <row r="27" spans="3:22"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ボス計算ツール</vt:lpstr>
      <vt:lpstr>内部計算用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2024-05-21T01:09:55Z</dcterms:created>
  <dcterms:modified xsi:type="dcterms:W3CDTF">2026-06-23T10:36:39Z</dcterms:modified>
</cp:coreProperties>
</file>